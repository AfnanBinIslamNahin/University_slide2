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fnanbinislamnahin/Documents/engineering management/"/>
    </mc:Choice>
  </mc:AlternateContent>
  <xr:revisionPtr revIDLastSave="0" documentId="13_ncr:1_{A9246E84-B172-6346-92E3-7AD53C4D63D7}" xr6:coauthVersionLast="47" xr6:coauthVersionMax="47" xr10:uidLastSave="{00000000-0000-0000-0000-000000000000}"/>
  <bookViews>
    <workbookView xWindow="14640" yWindow="1260" windowWidth="29400" windowHeight="17260" activeTab="2" xr2:uid="{2900BAEF-1314-7D49-BAC0-E22C5EECE9BF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4" hidden="1">Sheet3!$A$1</definedName>
    <definedName name="_xlchart.v1.5" hidden="1">Sheet3!$A$2:$A$10</definedName>
    <definedName name="_xlchart.v1.6" hidden="1">Sheet3!$B$1</definedName>
    <definedName name="_xlchart.v1.7" hidden="1">Sheet3!$B$2:$B$10</definedName>
    <definedName name="_xlchart.v2.0" hidden="1">Sheet3!$A$1</definedName>
    <definedName name="_xlchart.v2.1" hidden="1">Sheet3!$A$2:$A$10</definedName>
    <definedName name="_xlchart.v2.2" hidden="1">Sheet3!$B$1</definedName>
    <definedName name="_xlchart.v2.3" hidden="1">Sheet3!$B$2:$B$10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D17" i="3"/>
  <c r="E15" i="3"/>
  <c r="E14" i="3"/>
  <c r="B12" i="3"/>
  <c r="C11" i="3"/>
  <c r="C12" i="3"/>
  <c r="A12" i="3"/>
  <c r="D11" i="3"/>
  <c r="D12" i="3"/>
  <c r="D3" i="3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2" i="3"/>
  <c r="K12" i="2"/>
  <c r="J4" i="2"/>
  <c r="L4" i="2" s="1"/>
  <c r="J5" i="2"/>
  <c r="L5" i="2" s="1"/>
  <c r="J6" i="2"/>
  <c r="L6" i="2" s="1"/>
  <c r="J7" i="2"/>
  <c r="L7" i="2" s="1"/>
  <c r="K4" i="2"/>
  <c r="M4" i="2" s="1"/>
  <c r="K5" i="2"/>
  <c r="M5" i="2" s="1"/>
  <c r="K6" i="2"/>
  <c r="M6" i="2" s="1"/>
  <c r="K7" i="2"/>
  <c r="J3" i="2"/>
  <c r="J2" i="2"/>
  <c r="C5" i="2"/>
  <c r="C6" i="2"/>
  <c r="C7" i="2"/>
  <c r="C8" i="2" s="1"/>
  <c r="C9" i="2" s="1"/>
  <c r="C10" i="2" s="1"/>
  <c r="C11" i="2" s="1"/>
  <c r="C12" i="2" s="1"/>
  <c r="C13" i="2" s="1"/>
  <c r="C4" i="2"/>
  <c r="N3" i="1"/>
  <c r="N4" i="1"/>
  <c r="L10" i="1"/>
  <c r="L3" i="1"/>
  <c r="M3" i="1" s="1"/>
  <c r="O3" i="1" s="1"/>
  <c r="L4" i="1"/>
  <c r="M4" i="1" s="1"/>
  <c r="O4" i="1" s="1"/>
  <c r="L5" i="1"/>
  <c r="L6" i="1"/>
  <c r="L7" i="1"/>
  <c r="L8" i="1"/>
  <c r="L9" i="1"/>
  <c r="L2" i="1"/>
  <c r="C4" i="1"/>
  <c r="C5" i="1" s="1"/>
  <c r="C6" i="1" s="1"/>
  <c r="C7" i="1" s="1"/>
  <c r="C8" i="1" s="1"/>
  <c r="C9" i="1" s="1"/>
  <c r="K3" i="2" l="1"/>
  <c r="M3" i="2" s="1"/>
  <c r="L3" i="2"/>
  <c r="J9" i="2"/>
  <c r="L2" i="2"/>
  <c r="L9" i="2" s="1"/>
  <c r="K13" i="2" s="1"/>
  <c r="K2" i="2"/>
  <c r="M7" i="2"/>
  <c r="C10" i="1"/>
  <c r="C11" i="1" s="1"/>
  <c r="C12" i="1" s="1"/>
  <c r="C13" i="1" s="1"/>
  <c r="N5" i="1"/>
  <c r="M5" i="1"/>
  <c r="O5" i="1" s="1"/>
  <c r="N6" i="1"/>
  <c r="M6" i="1"/>
  <c r="O6" i="1" s="1"/>
  <c r="N7" i="1"/>
  <c r="M7" i="1"/>
  <c r="O7" i="1" s="1"/>
  <c r="N8" i="1"/>
  <c r="M8" i="1"/>
  <c r="O8" i="1" s="1"/>
  <c r="N9" i="1"/>
  <c r="M9" i="1"/>
  <c r="O9" i="1" s="1"/>
  <c r="N2" i="1"/>
  <c r="N10" i="1" s="1"/>
  <c r="O15" i="1" s="1"/>
  <c r="M2" i="1"/>
  <c r="M2" i="2" l="1"/>
  <c r="M9" i="2" s="1"/>
  <c r="K14" i="2" s="1"/>
  <c r="K9" i="2"/>
  <c r="M10" i="1"/>
  <c r="O14" i="1" s="1"/>
  <c r="O2" i="1"/>
  <c r="O10" i="1" s="1"/>
  <c r="O16" i="1" s="1"/>
</calcChain>
</file>

<file path=xl/sharedStrings.xml><?xml version="1.0" encoding="utf-8"?>
<sst xmlns="http://schemas.openxmlformats.org/spreadsheetml/2006/main" count="36" uniqueCount="29">
  <si>
    <t>Period</t>
  </si>
  <si>
    <t>Actual</t>
  </si>
  <si>
    <t>Forecast</t>
  </si>
  <si>
    <t>_</t>
  </si>
  <si>
    <t>period</t>
  </si>
  <si>
    <t>actual</t>
  </si>
  <si>
    <t>forecast</t>
  </si>
  <si>
    <t>a - f</t>
  </si>
  <si>
    <t>abs(a-f)</t>
  </si>
  <si>
    <t>MAD</t>
  </si>
  <si>
    <t>(a-f)^2</t>
  </si>
  <si>
    <t>MSE</t>
  </si>
  <si>
    <t>(abs(a-f)/A)*100</t>
  </si>
  <si>
    <t>MAPE</t>
  </si>
  <si>
    <t>month</t>
  </si>
  <si>
    <t>demand</t>
  </si>
  <si>
    <t>d-t</t>
  </si>
  <si>
    <t>abs(d-t)</t>
  </si>
  <si>
    <t>(d-t)^2</t>
  </si>
  <si>
    <t>(abs(d-t)/d)*100</t>
  </si>
  <si>
    <t>T_2</t>
  </si>
  <si>
    <t>TY</t>
  </si>
  <si>
    <t>period(T)</t>
  </si>
  <si>
    <t>T^2</t>
  </si>
  <si>
    <t>B</t>
  </si>
  <si>
    <t>A</t>
  </si>
  <si>
    <t>F(11)</t>
  </si>
  <si>
    <t>sales(Y)</t>
  </si>
  <si>
    <t>F(12)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</si>
</sst>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2EFA-034A-7A42-BCBF-44126FBDC42D}">
  <dimension ref="A1:O16"/>
  <sheetViews>
    <sheetView topLeftCell="G1" workbookViewId="0">
      <selection activeCell="M23" sqref="M2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10</v>
      </c>
      <c r="O1" t="s">
        <v>12</v>
      </c>
    </row>
    <row r="2" spans="1:15" x14ac:dyDescent="0.2">
      <c r="A2">
        <v>1</v>
      </c>
      <c r="B2">
        <v>42</v>
      </c>
      <c r="C2" t="s">
        <v>3</v>
      </c>
      <c r="I2">
        <v>1</v>
      </c>
      <c r="J2">
        <v>217</v>
      </c>
      <c r="K2">
        <v>215</v>
      </c>
      <c r="L2">
        <f>J2-K2</f>
        <v>2</v>
      </c>
      <c r="M2">
        <f>ABS(L2)</f>
        <v>2</v>
      </c>
      <c r="N2">
        <f>L2^2</f>
        <v>4</v>
      </c>
      <c r="O2" s="2">
        <f>(M2/J2)*100</f>
        <v>0.92165898617511521</v>
      </c>
    </row>
    <row r="3" spans="1:15" x14ac:dyDescent="0.2">
      <c r="A3">
        <v>2</v>
      </c>
      <c r="B3">
        <v>40</v>
      </c>
      <c r="C3" s="1">
        <v>42</v>
      </c>
      <c r="I3">
        <v>2</v>
      </c>
      <c r="J3">
        <v>213</v>
      </c>
      <c r="K3">
        <v>216</v>
      </c>
      <c r="L3">
        <f t="shared" ref="L3:L9" si="0">J3-K3</f>
        <v>-3</v>
      </c>
      <c r="M3">
        <f t="shared" ref="M3:M8" si="1">ABS(L3)</f>
        <v>3</v>
      </c>
      <c r="N3">
        <f t="shared" ref="N3:N9" si="2">L3^2</f>
        <v>9</v>
      </c>
      <c r="O3" s="2">
        <f t="shared" ref="O3:O9" si="3">(M3/J3)*100</f>
        <v>1.4084507042253522</v>
      </c>
    </row>
    <row r="4" spans="1:15" x14ac:dyDescent="0.2">
      <c r="A4">
        <v>3</v>
      </c>
      <c r="B4">
        <v>43</v>
      </c>
      <c r="C4" s="1">
        <f>C3+0.1*(B3-C3)</f>
        <v>41.8</v>
      </c>
      <c r="I4">
        <v>3</v>
      </c>
      <c r="J4">
        <v>216</v>
      </c>
      <c r="K4">
        <v>215</v>
      </c>
      <c r="L4">
        <f t="shared" si="0"/>
        <v>1</v>
      </c>
      <c r="M4">
        <f t="shared" si="1"/>
        <v>1</v>
      </c>
      <c r="N4">
        <f t="shared" si="2"/>
        <v>1</v>
      </c>
      <c r="O4" s="2">
        <f t="shared" si="3"/>
        <v>0.46296296296296291</v>
      </c>
    </row>
    <row r="5" spans="1:15" x14ac:dyDescent="0.2">
      <c r="A5">
        <v>4</v>
      </c>
      <c r="B5">
        <v>40</v>
      </c>
      <c r="C5" s="1">
        <f t="shared" ref="C5:C12" si="4">C4+0.1*(B4-C4)</f>
        <v>41.919999999999995</v>
      </c>
      <c r="I5">
        <v>4</v>
      </c>
      <c r="J5">
        <v>210</v>
      </c>
      <c r="K5">
        <v>214</v>
      </c>
      <c r="L5">
        <f t="shared" si="0"/>
        <v>-4</v>
      </c>
      <c r="M5">
        <f t="shared" si="1"/>
        <v>4</v>
      </c>
      <c r="N5">
        <f t="shared" si="2"/>
        <v>16</v>
      </c>
      <c r="O5" s="2">
        <f t="shared" si="3"/>
        <v>1.9047619047619049</v>
      </c>
    </row>
    <row r="6" spans="1:15" x14ac:dyDescent="0.2">
      <c r="A6">
        <v>5</v>
      </c>
      <c r="B6">
        <v>41</v>
      </c>
      <c r="C6" s="1">
        <f t="shared" si="4"/>
        <v>41.727999999999994</v>
      </c>
      <c r="I6">
        <v>5</v>
      </c>
      <c r="J6">
        <v>213</v>
      </c>
      <c r="K6">
        <v>211</v>
      </c>
      <c r="L6">
        <f t="shared" si="0"/>
        <v>2</v>
      </c>
      <c r="M6">
        <f t="shared" si="1"/>
        <v>2</v>
      </c>
      <c r="N6">
        <f t="shared" si="2"/>
        <v>4</v>
      </c>
      <c r="O6" s="2">
        <f t="shared" si="3"/>
        <v>0.93896713615023475</v>
      </c>
    </row>
    <row r="7" spans="1:15" x14ac:dyDescent="0.2">
      <c r="A7">
        <v>6</v>
      </c>
      <c r="B7">
        <v>39</v>
      </c>
      <c r="C7" s="1">
        <f t="shared" si="4"/>
        <v>41.655199999999994</v>
      </c>
      <c r="I7">
        <v>6</v>
      </c>
      <c r="J7">
        <v>219</v>
      </c>
      <c r="K7">
        <v>214</v>
      </c>
      <c r="L7">
        <f t="shared" si="0"/>
        <v>5</v>
      </c>
      <c r="M7">
        <f t="shared" si="1"/>
        <v>5</v>
      </c>
      <c r="N7">
        <f t="shared" si="2"/>
        <v>25</v>
      </c>
      <c r="O7" s="2">
        <f t="shared" si="3"/>
        <v>2.2831050228310499</v>
      </c>
    </row>
    <row r="8" spans="1:15" x14ac:dyDescent="0.2">
      <c r="A8">
        <v>7</v>
      </c>
      <c r="B8">
        <v>46</v>
      </c>
      <c r="C8" s="1">
        <f t="shared" si="4"/>
        <v>41.389679999999991</v>
      </c>
      <c r="I8">
        <v>7</v>
      </c>
      <c r="J8">
        <v>216</v>
      </c>
      <c r="K8">
        <v>217</v>
      </c>
      <c r="L8">
        <f t="shared" si="0"/>
        <v>-1</v>
      </c>
      <c r="M8">
        <f t="shared" si="1"/>
        <v>1</v>
      </c>
      <c r="N8">
        <f t="shared" si="2"/>
        <v>1</v>
      </c>
      <c r="O8" s="2">
        <f t="shared" si="3"/>
        <v>0.46296296296296291</v>
      </c>
    </row>
    <row r="9" spans="1:15" x14ac:dyDescent="0.2">
      <c r="A9">
        <v>8</v>
      </c>
      <c r="B9">
        <v>44</v>
      </c>
      <c r="C9" s="1">
        <f>C8+0.1*(B8-C8)</f>
        <v>41.850711999999994</v>
      </c>
      <c r="I9">
        <v>8</v>
      </c>
      <c r="J9">
        <v>212</v>
      </c>
      <c r="K9">
        <v>216</v>
      </c>
      <c r="L9">
        <f t="shared" si="0"/>
        <v>-4</v>
      </c>
      <c r="M9">
        <f>ABS(L9)</f>
        <v>4</v>
      </c>
      <c r="N9">
        <f t="shared" si="2"/>
        <v>16</v>
      </c>
      <c r="O9" s="2">
        <f t="shared" si="3"/>
        <v>1.8867924528301887</v>
      </c>
    </row>
    <row r="10" spans="1:15" x14ac:dyDescent="0.2">
      <c r="A10">
        <v>9</v>
      </c>
      <c r="B10">
        <v>45</v>
      </c>
      <c r="C10" s="1">
        <f t="shared" si="4"/>
        <v>42.065640799999997</v>
      </c>
      <c r="L10">
        <f>SUM(L2:L9)</f>
        <v>-2</v>
      </c>
      <c r="M10">
        <f>SUM(M2:M9)</f>
        <v>22</v>
      </c>
      <c r="N10">
        <f>SUM(N2:N9)</f>
        <v>76</v>
      </c>
      <c r="O10" s="2">
        <f>SUM(O2:O9)</f>
        <v>10.269662132899773</v>
      </c>
    </row>
    <row r="11" spans="1:15" x14ac:dyDescent="0.2">
      <c r="A11">
        <v>10</v>
      </c>
      <c r="B11">
        <v>38</v>
      </c>
      <c r="C11" s="1">
        <f t="shared" si="4"/>
        <v>42.359076719999997</v>
      </c>
    </row>
    <row r="12" spans="1:15" x14ac:dyDescent="0.2">
      <c r="A12">
        <v>11</v>
      </c>
      <c r="B12">
        <v>40</v>
      </c>
      <c r="C12" s="1">
        <f t="shared" si="4"/>
        <v>41.923169047999998</v>
      </c>
    </row>
    <row r="13" spans="1:15" x14ac:dyDescent="0.2">
      <c r="A13">
        <v>12</v>
      </c>
      <c r="C13" s="1">
        <f>C12+0.1*(B12-C12)</f>
        <v>41.730852143199996</v>
      </c>
    </row>
    <row r="14" spans="1:15" x14ac:dyDescent="0.2">
      <c r="N14" t="s">
        <v>9</v>
      </c>
      <c r="O14">
        <f>M10/8</f>
        <v>2.75</v>
      </c>
    </row>
    <row r="15" spans="1:15" x14ac:dyDescent="0.2">
      <c r="N15" t="s">
        <v>11</v>
      </c>
      <c r="O15">
        <f>N10/7</f>
        <v>10.857142857142858</v>
      </c>
    </row>
    <row r="16" spans="1:15" x14ac:dyDescent="0.2">
      <c r="N16" t="s">
        <v>13</v>
      </c>
      <c r="O16">
        <f>O10/I9</f>
        <v>1.2837077666124717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D4C7-086D-BC4B-8D86-F9633B52ED81}">
  <dimension ref="A1:M14"/>
  <sheetViews>
    <sheetView topLeftCell="D1" workbookViewId="0">
      <selection activeCell="I19" sqref="I19"/>
    </sheetView>
  </sheetViews>
  <sheetFormatPr baseColWidth="10" defaultRowHeight="16" x14ac:dyDescent="0.2"/>
  <cols>
    <col min="13" max="13" width="11.6640625" bestFit="1" customWidth="1"/>
  </cols>
  <sheetData>
    <row r="1" spans="1:13" x14ac:dyDescent="0.2">
      <c r="A1" t="s">
        <v>4</v>
      </c>
      <c r="B1" t="s">
        <v>5</v>
      </c>
      <c r="C1" t="s">
        <v>6</v>
      </c>
      <c r="G1" t="s">
        <v>14</v>
      </c>
      <c r="H1" t="s">
        <v>15</v>
      </c>
      <c r="I1" t="s">
        <v>20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">
      <c r="A2">
        <v>1</v>
      </c>
      <c r="B2">
        <v>42</v>
      </c>
      <c r="C2" t="s">
        <v>3</v>
      </c>
      <c r="G2">
        <v>1</v>
      </c>
      <c r="H2">
        <v>492</v>
      </c>
      <c r="I2">
        <v>495</v>
      </c>
      <c r="J2">
        <f>H2-I2</f>
        <v>-3</v>
      </c>
      <c r="K2">
        <f>ABS(J2)</f>
        <v>3</v>
      </c>
      <c r="L2">
        <f>J2^2</f>
        <v>9</v>
      </c>
      <c r="M2" s="1">
        <f>(K2/H2)*100</f>
        <v>0.6097560975609756</v>
      </c>
    </row>
    <row r="3" spans="1:13" x14ac:dyDescent="0.2">
      <c r="A3">
        <v>2</v>
      </c>
      <c r="B3">
        <v>40</v>
      </c>
      <c r="C3">
        <v>42</v>
      </c>
      <c r="G3">
        <v>2</v>
      </c>
      <c r="H3">
        <v>470</v>
      </c>
      <c r="I3">
        <v>482</v>
      </c>
      <c r="J3">
        <f t="shared" ref="J3:J7" si="0">H3-I3</f>
        <v>-12</v>
      </c>
      <c r="K3">
        <f t="shared" ref="K3:K8" si="1">ABS(J3)</f>
        <v>12</v>
      </c>
      <c r="L3">
        <f t="shared" ref="L3:L8" si="2">J3^2</f>
        <v>144</v>
      </c>
      <c r="M3" s="1">
        <f t="shared" ref="M3:M7" si="3">(K3/H3)*100</f>
        <v>2.5531914893617018</v>
      </c>
    </row>
    <row r="4" spans="1:13" x14ac:dyDescent="0.2">
      <c r="A4">
        <v>3</v>
      </c>
      <c r="B4">
        <v>43</v>
      </c>
      <c r="C4" s="1">
        <f>C3+0.4*(B3-C3)</f>
        <v>41.2</v>
      </c>
      <c r="G4">
        <v>3</v>
      </c>
      <c r="H4">
        <v>485</v>
      </c>
      <c r="I4">
        <v>478</v>
      </c>
      <c r="J4">
        <f t="shared" si="0"/>
        <v>7</v>
      </c>
      <c r="K4">
        <f t="shared" si="1"/>
        <v>7</v>
      </c>
      <c r="L4">
        <f t="shared" si="2"/>
        <v>49</v>
      </c>
      <c r="M4" s="1">
        <f t="shared" si="3"/>
        <v>1.4432989690721649</v>
      </c>
    </row>
    <row r="5" spans="1:13" x14ac:dyDescent="0.2">
      <c r="A5">
        <v>4</v>
      </c>
      <c r="B5">
        <v>40</v>
      </c>
      <c r="C5" s="1">
        <f t="shared" ref="C5:C13" si="4">C4+0.4*(B4-C4)</f>
        <v>41.92</v>
      </c>
      <c r="G5">
        <v>4</v>
      </c>
      <c r="H5">
        <v>493</v>
      </c>
      <c r="I5">
        <v>488</v>
      </c>
      <c r="J5">
        <f t="shared" si="0"/>
        <v>5</v>
      </c>
      <c r="K5">
        <f t="shared" si="1"/>
        <v>5</v>
      </c>
      <c r="L5">
        <f t="shared" si="2"/>
        <v>25</v>
      </c>
      <c r="M5" s="1">
        <f t="shared" si="3"/>
        <v>1.0141987829614605</v>
      </c>
    </row>
    <row r="6" spans="1:13" x14ac:dyDescent="0.2">
      <c r="A6">
        <v>5</v>
      </c>
      <c r="B6">
        <v>41</v>
      </c>
      <c r="C6" s="1">
        <f t="shared" si="4"/>
        <v>41.152000000000001</v>
      </c>
      <c r="G6">
        <v>5</v>
      </c>
      <c r="H6">
        <v>498</v>
      </c>
      <c r="I6">
        <v>492</v>
      </c>
      <c r="J6">
        <f t="shared" si="0"/>
        <v>6</v>
      </c>
      <c r="K6">
        <f t="shared" si="1"/>
        <v>6</v>
      </c>
      <c r="L6">
        <f t="shared" si="2"/>
        <v>36</v>
      </c>
      <c r="M6" s="1">
        <f t="shared" si="3"/>
        <v>1.2048192771084338</v>
      </c>
    </row>
    <row r="7" spans="1:13" x14ac:dyDescent="0.2">
      <c r="A7">
        <v>6</v>
      </c>
      <c r="B7">
        <v>39</v>
      </c>
      <c r="C7" s="1">
        <f t="shared" si="4"/>
        <v>41.091200000000001</v>
      </c>
      <c r="G7">
        <v>6</v>
      </c>
      <c r="H7">
        <v>492</v>
      </c>
      <c r="I7">
        <v>493</v>
      </c>
      <c r="J7">
        <f t="shared" si="0"/>
        <v>-1</v>
      </c>
      <c r="K7">
        <f t="shared" si="1"/>
        <v>1</v>
      </c>
      <c r="L7">
        <f t="shared" si="2"/>
        <v>1</v>
      </c>
      <c r="M7" s="1">
        <f t="shared" si="3"/>
        <v>0.20325203252032523</v>
      </c>
    </row>
    <row r="8" spans="1:13" x14ac:dyDescent="0.2">
      <c r="A8">
        <v>7</v>
      </c>
      <c r="B8">
        <v>46</v>
      </c>
      <c r="C8" s="1">
        <f t="shared" si="4"/>
        <v>40.254719999999999</v>
      </c>
    </row>
    <row r="9" spans="1:13" x14ac:dyDescent="0.2">
      <c r="A9">
        <v>8</v>
      </c>
      <c r="B9">
        <v>44</v>
      </c>
      <c r="C9" s="1">
        <f t="shared" si="4"/>
        <v>42.552832000000002</v>
      </c>
      <c r="J9">
        <f>SUM(J2:J7)</f>
        <v>2</v>
      </c>
      <c r="K9">
        <f t="shared" ref="K9:M9" si="5">SUM(K2:K7)</f>
        <v>34</v>
      </c>
      <c r="L9">
        <f t="shared" si="5"/>
        <v>264</v>
      </c>
      <c r="M9">
        <f t="shared" si="5"/>
        <v>7.0285166485850619</v>
      </c>
    </row>
    <row r="10" spans="1:13" x14ac:dyDescent="0.2">
      <c r="A10">
        <v>9</v>
      </c>
      <c r="B10">
        <v>45</v>
      </c>
      <c r="C10" s="1">
        <f t="shared" si="4"/>
        <v>43.1316992</v>
      </c>
    </row>
    <row r="11" spans="1:13" x14ac:dyDescent="0.2">
      <c r="A11">
        <v>10</v>
      </c>
      <c r="B11">
        <v>38</v>
      </c>
      <c r="C11" s="1">
        <f t="shared" si="4"/>
        <v>43.87901952</v>
      </c>
    </row>
    <row r="12" spans="1:13" x14ac:dyDescent="0.2">
      <c r="A12">
        <v>11</v>
      </c>
      <c r="B12">
        <v>40</v>
      </c>
      <c r="C12" s="1">
        <f t="shared" si="4"/>
        <v>41.527411712000003</v>
      </c>
      <c r="J12" t="s">
        <v>9</v>
      </c>
      <c r="K12">
        <f>K9/G7</f>
        <v>5.666666666666667</v>
      </c>
    </row>
    <row r="13" spans="1:13" x14ac:dyDescent="0.2">
      <c r="A13">
        <v>12</v>
      </c>
      <c r="C13" s="1">
        <f t="shared" si="4"/>
        <v>40.9164470272</v>
      </c>
      <c r="J13" t="s">
        <v>11</v>
      </c>
      <c r="K13">
        <f>L9/(G7-1)</f>
        <v>52.8</v>
      </c>
    </row>
    <row r="14" spans="1:13" x14ac:dyDescent="0.2">
      <c r="J14" t="s">
        <v>13</v>
      </c>
      <c r="K14">
        <f>M9/G7</f>
        <v>1.1714194414308436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20C-2CF8-3542-A621-6B4084307D8D}">
  <dimension ref="A1:E18"/>
  <sheetViews>
    <sheetView tabSelected="1" workbookViewId="0">
      <selection activeCell="E15" sqref="E15"/>
    </sheetView>
  </sheetViews>
  <sheetFormatPr baseColWidth="10" defaultRowHeight="16" x14ac:dyDescent="0.2"/>
  <sheetData>
    <row r="1" spans="1:5" x14ac:dyDescent="0.2">
      <c r="A1" t="s">
        <v>22</v>
      </c>
      <c r="B1" t="s">
        <v>27</v>
      </c>
      <c r="C1" t="s">
        <v>21</v>
      </c>
      <c r="D1" t="s">
        <v>23</v>
      </c>
    </row>
    <row r="2" spans="1:5" x14ac:dyDescent="0.2">
      <c r="A2">
        <v>1</v>
      </c>
      <c r="B2">
        <v>700</v>
      </c>
      <c r="C2">
        <f>B2*A2</f>
        <v>700</v>
      </c>
      <c r="D2">
        <f>A2^2</f>
        <v>1</v>
      </c>
    </row>
    <row r="3" spans="1:5" x14ac:dyDescent="0.2">
      <c r="A3">
        <v>2</v>
      </c>
      <c r="B3">
        <v>724</v>
      </c>
      <c r="C3">
        <f t="shared" ref="C3:C11" si="0">B3*A3</f>
        <v>1448</v>
      </c>
      <c r="D3">
        <f t="shared" ref="D3:D11" si="1">A3^2</f>
        <v>4</v>
      </c>
    </row>
    <row r="4" spans="1:5" x14ac:dyDescent="0.2">
      <c r="A4">
        <v>3</v>
      </c>
      <c r="B4">
        <v>720</v>
      </c>
      <c r="C4">
        <f t="shared" si="0"/>
        <v>2160</v>
      </c>
      <c r="D4">
        <f t="shared" si="1"/>
        <v>9</v>
      </c>
    </row>
    <row r="5" spans="1:5" x14ac:dyDescent="0.2">
      <c r="A5">
        <v>4</v>
      </c>
      <c r="B5">
        <v>728</v>
      </c>
      <c r="C5">
        <f t="shared" si="0"/>
        <v>2912</v>
      </c>
      <c r="D5">
        <f t="shared" si="1"/>
        <v>16</v>
      </c>
    </row>
    <row r="6" spans="1:5" x14ac:dyDescent="0.2">
      <c r="A6">
        <v>5</v>
      </c>
      <c r="B6">
        <v>740</v>
      </c>
      <c r="C6">
        <f t="shared" si="0"/>
        <v>3700</v>
      </c>
      <c r="D6">
        <f t="shared" si="1"/>
        <v>25</v>
      </c>
    </row>
    <row r="7" spans="1:5" x14ac:dyDescent="0.2">
      <c r="A7">
        <v>6</v>
      </c>
      <c r="B7">
        <v>742</v>
      </c>
      <c r="C7">
        <f t="shared" si="0"/>
        <v>4452</v>
      </c>
      <c r="D7">
        <f t="shared" si="1"/>
        <v>36</v>
      </c>
    </row>
    <row r="8" spans="1:5" x14ac:dyDescent="0.2">
      <c r="A8">
        <v>7</v>
      </c>
      <c r="B8">
        <v>758</v>
      </c>
      <c r="C8">
        <f t="shared" si="0"/>
        <v>5306</v>
      </c>
      <c r="D8">
        <f t="shared" si="1"/>
        <v>49</v>
      </c>
    </row>
    <row r="9" spans="1:5" x14ac:dyDescent="0.2">
      <c r="A9">
        <v>8</v>
      </c>
      <c r="B9">
        <v>750</v>
      </c>
      <c r="C9">
        <f t="shared" si="0"/>
        <v>6000</v>
      </c>
      <c r="D9">
        <f t="shared" si="1"/>
        <v>64</v>
      </c>
    </row>
    <row r="10" spans="1:5" x14ac:dyDescent="0.2">
      <c r="A10">
        <v>9</v>
      </c>
      <c r="B10">
        <v>770</v>
      </c>
      <c r="C10">
        <f t="shared" si="0"/>
        <v>6930</v>
      </c>
      <c r="D10">
        <f t="shared" si="1"/>
        <v>81</v>
      </c>
    </row>
    <row r="11" spans="1:5" x14ac:dyDescent="0.2">
      <c r="A11">
        <v>10</v>
      </c>
      <c r="B11">
        <v>775</v>
      </c>
      <c r="C11">
        <f t="shared" si="0"/>
        <v>7750</v>
      </c>
      <c r="D11">
        <f t="shared" si="1"/>
        <v>100</v>
      </c>
    </row>
    <row r="12" spans="1:5" x14ac:dyDescent="0.2">
      <c r="A12">
        <f>SUM(A2:A11)</f>
        <v>55</v>
      </c>
      <c r="B12">
        <f>SUM(B2:B11)</f>
        <v>7407</v>
      </c>
      <c r="C12">
        <f>SUM(C2:C11)</f>
        <v>41358</v>
      </c>
      <c r="D12">
        <f>SUM(D2:D11)</f>
        <v>385</v>
      </c>
    </row>
    <row r="14" spans="1:5" x14ac:dyDescent="0.2">
      <c r="D14" t="s">
        <v>24</v>
      </c>
      <c r="E14">
        <f>(A11*C12-A12*B12)/(A11*D12-A12^2)</f>
        <v>7.5090909090909088</v>
      </c>
    </row>
    <row r="15" spans="1:5" x14ac:dyDescent="0.2">
      <c r="D15" t="s">
        <v>25</v>
      </c>
      <c r="E15" s="2">
        <f>(B12-E14*A12)/A11</f>
        <v>699.4</v>
      </c>
    </row>
    <row r="17" spans="3:4" x14ac:dyDescent="0.2">
      <c r="C17" t="s">
        <v>26</v>
      </c>
      <c r="D17">
        <f>E15+E14*11</f>
        <v>782</v>
      </c>
    </row>
    <row r="18" spans="3:4" x14ac:dyDescent="0.2">
      <c r="C18" t="s">
        <v>28</v>
      </c>
      <c r="D18">
        <f>E15+E14*12</f>
        <v>789.5090909090909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9E02-4EA8-BA49-9FEC-0A83BADFA62C}">
  <dimension ref="A1"/>
  <sheetViews>
    <sheetView workbookViewId="0">
      <selection activeCell="G29" sqref="G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Nahin</dc:creator>
  <cp:lastModifiedBy>Afnan Nahin</cp:lastModifiedBy>
  <dcterms:created xsi:type="dcterms:W3CDTF">2026-04-05T17:43:57Z</dcterms:created>
  <dcterms:modified xsi:type="dcterms:W3CDTF">2026-04-06T10:48:52Z</dcterms:modified>
</cp:coreProperties>
</file>